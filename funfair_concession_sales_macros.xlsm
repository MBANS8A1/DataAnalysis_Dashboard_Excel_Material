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BANS8A1\Desktop\"/>
    </mc:Choice>
  </mc:AlternateContent>
  <xr:revisionPtr revIDLastSave="0" documentId="13_ncr:1_{53E9663C-F51D-485C-A2E1-781FE8C6DCD9}" xr6:coauthVersionLast="47" xr6:coauthVersionMax="47" xr10:uidLastSave="{00000000-0000-0000-0000-000000000000}"/>
  <bookViews>
    <workbookView xWindow="-108" yWindow="-108" windowWidth="23256" windowHeight="12576" xr2:uid="{8135C004-DE8D-426F-8200-7273FF084BB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" l="1"/>
  <c r="H7" i="1"/>
  <c r="H8" i="1"/>
  <c r="H9" i="1"/>
  <c r="H10" i="1"/>
  <c r="H11" i="1"/>
  <c r="H12" i="1"/>
  <c r="H13" i="1"/>
  <c r="H15" i="1"/>
  <c r="H6" i="1"/>
</calcChain>
</file>

<file path=xl/sharedStrings.xml><?xml version="1.0" encoding="utf-8"?>
<sst xmlns="http://schemas.openxmlformats.org/spreadsheetml/2006/main" count="45" uniqueCount="45">
  <si>
    <t>Stand ID</t>
  </si>
  <si>
    <t>Stall 
Name</t>
  </si>
  <si>
    <t>Placement</t>
  </si>
  <si>
    <t>Rudy's Confectionary</t>
  </si>
  <si>
    <t>Charlie Roll's BBQ</t>
  </si>
  <si>
    <t>Mazy's Fruit Smack</t>
  </si>
  <si>
    <t>Fabio's Soft Toys</t>
  </si>
  <si>
    <t>Smithson's Mythic 
Statues</t>
  </si>
  <si>
    <t>Oron's Greek Tasters</t>
  </si>
  <si>
    <t>Ted's Salad Bar</t>
  </si>
  <si>
    <t>Milson's Portait 
Painting</t>
  </si>
  <si>
    <t>Frank's Big Dogs</t>
  </si>
  <si>
    <t>Sale Item
1st Quarter Sales (£) 2023</t>
  </si>
  <si>
    <t>Sales Item 2nd Quarter Sales (£) 2023</t>
  </si>
  <si>
    <t>Sale Item
3rd Quarter Sales (£)
2023</t>
  </si>
  <si>
    <t>Sales Item 
4th Quarter Sales (£) 2023</t>
  </si>
  <si>
    <t>Gross 
Annual 
Income</t>
  </si>
  <si>
    <t>Tamson's Fish Scoops</t>
  </si>
  <si>
    <t>Yearly Sales Tax</t>
  </si>
  <si>
    <t>Annual Sales
Tax Payable</t>
  </si>
  <si>
    <t>Nil</t>
  </si>
  <si>
    <t>14p for each £1 over  £10300</t>
  </si>
  <si>
    <t>Taxable Income Brackets</t>
  </si>
  <si>
    <t>Tax on Income Brackets</t>
  </si>
  <si>
    <t>£456 plus 25p for each £1 over 45000</t>
  </si>
  <si>
    <t>£10301-£45000</t>
  </si>
  <si>
    <t>£0-£10300</t>
  </si>
  <si>
    <t>£45001-£56000</t>
  </si>
  <si>
    <t>£56001-£65000</t>
  </si>
  <si>
    <t>A4</t>
  </si>
  <si>
    <t>C1</t>
  </si>
  <si>
    <t>C2</t>
  </si>
  <si>
    <t>A1</t>
  </si>
  <si>
    <t>A3</t>
  </si>
  <si>
    <t>B2</t>
  </si>
  <si>
    <t>B4</t>
  </si>
  <si>
    <t>£65001 and over</t>
  </si>
  <si>
    <t>£2220 plus 35p for each £1 over £65000</t>
  </si>
  <si>
    <t>£1834 plus 30p for each £1 over £56000</t>
  </si>
  <si>
    <t>A2</t>
  </si>
  <si>
    <t>B1</t>
  </si>
  <si>
    <t>B3</t>
  </si>
  <si>
    <t>Annual Income 
Tax Payable</t>
  </si>
  <si>
    <t>Net Income</t>
  </si>
  <si>
    <t>Kennington Fun Fair Concession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</si>
</sst>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£&quot;#,##0;[Red]\-&quot;£&quot;#,##0"/>
  </numFmts>
  <fonts count="2" x14ac:knownFonts="1">
    <font>
      <sz val="11"/>
      <color theme="1"/>
      <name val="Calibri"/>
      <family val="2"/>
      <scheme val="minor"/>
    </font>
    <font>
      <sz val="18"/>
      <color theme="1"/>
      <name val="Avenir Next LT Pro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/>
    <xf numFmtId="0" fontId="0" fillId="0" borderId="1" xfId="0" applyBorder="1" applyAlignment="1">
      <alignment wrapText="1"/>
    </xf>
    <xf numFmtId="0" fontId="0" fillId="0" borderId="1" xfId="0" applyBorder="1"/>
    <xf numFmtId="2" fontId="0" fillId="0" borderId="1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2" fontId="0" fillId="0" borderId="8" xfId="0" applyNumberFormat="1" applyBorder="1"/>
    <xf numFmtId="0" fontId="0" fillId="0" borderId="9" xfId="0" applyBorder="1"/>
    <xf numFmtId="6" fontId="0" fillId="0" borderId="1" xfId="0" applyNumberFormat="1" applyBorder="1"/>
    <xf numFmtId="9" fontId="0" fillId="0" borderId="1" xfId="0" applyNumberFormat="1" applyBorder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15"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2" formatCode="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2" formatCode="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2" formatCode="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2" formatCode="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2" formatCode="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20</xdr:row>
          <xdr:rowOff>259080</xdr:rowOff>
        </xdr:from>
        <xdr:to>
          <xdr:col>4</xdr:col>
          <xdr:colOff>1097280</xdr:colOff>
          <xdr:row>24</xdr:row>
          <xdr:rowOff>53340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1470660</xdr:colOff>
          <xdr:row>20</xdr:row>
          <xdr:rowOff>251460</xdr:rowOff>
        </xdr:from>
        <xdr:to>
          <xdr:col>6</xdr:col>
          <xdr:colOff>15240</xdr:colOff>
          <xdr:row>24</xdr:row>
          <xdr:rowOff>38100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20</xdr:row>
          <xdr:rowOff>220980</xdr:rowOff>
        </xdr:from>
        <xdr:to>
          <xdr:col>8</xdr:col>
          <xdr:colOff>114300</xdr:colOff>
          <xdr:row>24</xdr:row>
          <xdr:rowOff>30480</xdr:rowOff>
        </xdr:to>
        <xdr:sp macro="" textlink="">
          <xdr:nvSpPr>
            <xdr:cNvPr id="1033" name="CommandButton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16</xdr:row>
          <xdr:rowOff>129540</xdr:rowOff>
        </xdr:from>
        <xdr:to>
          <xdr:col>4</xdr:col>
          <xdr:colOff>1112520</xdr:colOff>
          <xdr:row>20</xdr:row>
          <xdr:rowOff>38100</xdr:rowOff>
        </xdr:to>
        <xdr:sp macro="" textlink="">
          <xdr:nvSpPr>
            <xdr:cNvPr id="1034" name="CommandButton4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1508760</xdr:colOff>
          <xdr:row>16</xdr:row>
          <xdr:rowOff>144780</xdr:rowOff>
        </xdr:from>
        <xdr:to>
          <xdr:col>5</xdr:col>
          <xdr:colOff>1219200</xdr:colOff>
          <xdr:row>20</xdr:row>
          <xdr:rowOff>15240</xdr:rowOff>
        </xdr:to>
        <xdr:sp macro="" textlink="">
          <xdr:nvSpPr>
            <xdr:cNvPr id="1035" name="CommandButton5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350520</xdr:colOff>
          <xdr:row>16</xdr:row>
          <xdr:rowOff>99060</xdr:rowOff>
        </xdr:from>
        <xdr:to>
          <xdr:col>8</xdr:col>
          <xdr:colOff>152400</xdr:colOff>
          <xdr:row>20</xdr:row>
          <xdr:rowOff>30480</xdr:rowOff>
        </xdr:to>
        <xdr:sp macro="" textlink="">
          <xdr:nvSpPr>
            <xdr:cNvPr id="1036" name="CommandButton6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970879-DEA1-4120-B8DE-EB4B5CBC8C20}" name="Table1" displayName="Table1" ref="A5:K15" totalsRowShown="0" headerRowDxfId="14" headerRowBorderDxfId="13" tableBorderDxfId="12" totalsRowBorderDxfId="11">
  <autoFilter ref="A5:K15" xr:uid="{55970879-DEA1-4120-B8DE-EB4B5CBC8C20}"/>
  <tableColumns count="11">
    <tableColumn id="1" xr3:uid="{149ABA95-AFEE-427E-AA58-13788BD443AD}" name="Stand ID" dataDxfId="10"/>
    <tableColumn id="2" xr3:uid="{EFAA2C02-D4A3-4AF0-A8DB-45EE35C632FA}" name="Stall _x000a_Name" dataDxfId="9"/>
    <tableColumn id="3" xr3:uid="{BEB9A3A7-A653-45D0-8200-6DC88793025E}" name="Placement" dataDxfId="8"/>
    <tableColumn id="4" xr3:uid="{AADB7BBE-B730-4A36-B3BD-6E29A288538F}" name="Sale Item_x000a_1st Quarter Sales (£) 2023" dataDxfId="7"/>
    <tableColumn id="5" xr3:uid="{6B43577E-5D96-4A17-B331-127DFC7E7655}" name="Sales Item 2nd Quarter Sales (£) 2023" dataDxfId="6"/>
    <tableColumn id="6" xr3:uid="{469A2595-A75D-4258-A7E8-E9E512AB5B4B}" name="Sale Item_x000a_3rd Quarter Sales (£)_x000a_2023" dataDxfId="5"/>
    <tableColumn id="7" xr3:uid="{C8E7767F-1FF6-486F-868A-FF21FEE693DE}" name="Sales Item _x000a_4th Quarter Sales (£) 2023" dataDxfId="4"/>
    <tableColumn id="8" xr3:uid="{EC380CE6-A0FF-4044-9A46-B956C2083972}" name="Gross _x000a_Annual _x000a_Income" dataDxfId="3">
      <calculatedColumnFormula>SUM(D6:G6)</calculatedColumnFormula>
    </tableColumn>
    <tableColumn id="9" xr3:uid="{0E35466B-FA71-4A27-9FC7-D70A5A5711E5}" name="Annual Sales_x000a_Tax Payable" dataDxfId="2"/>
    <tableColumn id="10" xr3:uid="{3A0C8A0E-5F54-4D78-BFD6-6465392FCDCC}" name="Annual Income _x000a_Tax Payable" dataDxfId="1"/>
    <tableColumn id="11" xr3:uid="{77B0E9CA-E31A-43BE-A50B-12DF5BAA652C}" name="Net Inco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table" Target="../tables/table1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8081D-3214-47FD-AD02-611545624450}">
  <sheetPr codeName="Sheet1"/>
  <dimension ref="A1:Q26"/>
  <sheetViews>
    <sheetView tabSelected="1" topLeftCell="A3" workbookViewId="0">
      <selection activeCell="E17" sqref="E17"/>
    </sheetView>
  </sheetViews>
  <sheetFormatPr defaultRowHeight="14.4" x14ac:dyDescent="0.3"/>
  <cols>
    <col min="1" max="1" width="10" customWidth="1"/>
    <col min="2" max="2" width="19.88671875" customWidth="1"/>
    <col min="3" max="3" width="35.88671875" customWidth="1"/>
    <col min="4" max="4" width="23" customWidth="1"/>
    <col min="5" max="5" width="33.88671875" customWidth="1"/>
    <col min="6" max="6" width="19" customWidth="1"/>
    <col min="7" max="7" width="23.88671875" customWidth="1"/>
    <col min="8" max="8" width="13.6640625" customWidth="1"/>
    <col min="9" max="9" width="13" customWidth="1"/>
    <col min="10" max="10" width="15.77734375" customWidth="1"/>
    <col min="11" max="11" width="21.5546875" customWidth="1"/>
  </cols>
  <sheetData>
    <row r="1" spans="1:17" x14ac:dyDescent="0.3">
      <c r="C1" s="16" t="s">
        <v>44</v>
      </c>
      <c r="D1" s="17"/>
      <c r="E1" s="17"/>
      <c r="F1" s="17"/>
      <c r="G1" s="17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x14ac:dyDescent="0.3">
      <c r="C2" s="17"/>
      <c r="D2" s="17"/>
      <c r="E2" s="17"/>
      <c r="F2" s="17"/>
      <c r="G2" s="17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x14ac:dyDescent="0.3"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5" spans="1:17" ht="67.2" customHeight="1" x14ac:dyDescent="0.3">
      <c r="A5" s="2" t="s">
        <v>0</v>
      </c>
      <c r="B5" s="3" t="s">
        <v>1</v>
      </c>
      <c r="C5" s="3" t="s">
        <v>2</v>
      </c>
      <c r="D5" s="3" t="s">
        <v>12</v>
      </c>
      <c r="E5" s="3" t="s">
        <v>13</v>
      </c>
      <c r="F5" s="3" t="s">
        <v>14</v>
      </c>
      <c r="G5" s="3" t="s">
        <v>15</v>
      </c>
      <c r="H5" s="3" t="s">
        <v>16</v>
      </c>
      <c r="I5" s="3" t="s">
        <v>19</v>
      </c>
      <c r="J5" s="3" t="s">
        <v>42</v>
      </c>
      <c r="K5" s="4" t="s">
        <v>43</v>
      </c>
    </row>
    <row r="6" spans="1:17" x14ac:dyDescent="0.3">
      <c r="A6" s="5">
        <v>1</v>
      </c>
      <c r="B6" s="6" t="s">
        <v>3</v>
      </c>
      <c r="C6" s="7" t="s">
        <v>32</v>
      </c>
      <c r="D6" s="8">
        <v>12546.32</v>
      </c>
      <c r="E6" s="8">
        <v>11226.92</v>
      </c>
      <c r="F6" s="8">
        <v>9982.91</v>
      </c>
      <c r="G6" s="8">
        <v>14678.88</v>
      </c>
      <c r="H6" s="8">
        <f>SUM(D6:G6)</f>
        <v>48435.029999999992</v>
      </c>
      <c r="I6" s="7">
        <v>2421.75</v>
      </c>
      <c r="J6" s="7">
        <v>1314.76</v>
      </c>
      <c r="K6" s="9">
        <v>44698.51999999999</v>
      </c>
    </row>
    <row r="7" spans="1:17" x14ac:dyDescent="0.3">
      <c r="A7" s="5">
        <v>2</v>
      </c>
      <c r="B7" s="7" t="s">
        <v>4</v>
      </c>
      <c r="C7" s="7" t="s">
        <v>39</v>
      </c>
      <c r="D7" s="8">
        <v>9477.5400000000009</v>
      </c>
      <c r="E7" s="8">
        <v>13621.34</v>
      </c>
      <c r="F7" s="8">
        <v>11305.44</v>
      </c>
      <c r="G7" s="8">
        <v>9756.34</v>
      </c>
      <c r="H7" s="8">
        <f t="shared" ref="H7:H15" si="0">SUM(D7:G7)</f>
        <v>44160.66</v>
      </c>
      <c r="I7" s="7">
        <v>2208.0300000000002</v>
      </c>
      <c r="J7" s="7">
        <v>4740.49</v>
      </c>
      <c r="K7" s="9">
        <v>37212.14</v>
      </c>
    </row>
    <row r="8" spans="1:17" x14ac:dyDescent="0.3">
      <c r="A8" s="5">
        <v>3</v>
      </c>
      <c r="B8" s="7" t="s">
        <v>5</v>
      </c>
      <c r="C8" s="7" t="s">
        <v>33</v>
      </c>
      <c r="D8" s="8">
        <v>15932.54</v>
      </c>
      <c r="E8" s="8">
        <v>22321.45</v>
      </c>
      <c r="F8" s="8">
        <v>10900.69</v>
      </c>
      <c r="G8" s="8">
        <v>10458.23</v>
      </c>
      <c r="H8" s="8">
        <f t="shared" si="0"/>
        <v>59612.91</v>
      </c>
      <c r="I8" s="7">
        <v>2980.65</v>
      </c>
      <c r="J8" s="7">
        <v>2917.87</v>
      </c>
      <c r="K8" s="9">
        <v>53714.39</v>
      </c>
    </row>
    <row r="9" spans="1:17" x14ac:dyDescent="0.3">
      <c r="A9" s="5">
        <v>4</v>
      </c>
      <c r="B9" s="7" t="s">
        <v>6</v>
      </c>
      <c r="C9" s="7" t="s">
        <v>29</v>
      </c>
      <c r="D9" s="8">
        <v>17399.25</v>
      </c>
      <c r="E9" s="8">
        <v>16354.89</v>
      </c>
      <c r="F9" s="8">
        <v>10123.450000000001</v>
      </c>
      <c r="G9" s="8">
        <v>9345.67</v>
      </c>
      <c r="H9" s="8">
        <f t="shared" si="0"/>
        <v>53223.259999999995</v>
      </c>
      <c r="I9" s="7">
        <v>2661.16</v>
      </c>
      <c r="J9" s="7">
        <v>2511.81</v>
      </c>
      <c r="K9" s="9">
        <v>48050.289999999994</v>
      </c>
    </row>
    <row r="10" spans="1:17" ht="28.8" x14ac:dyDescent="0.3">
      <c r="A10" s="5">
        <v>5</v>
      </c>
      <c r="B10" s="6" t="s">
        <v>7</v>
      </c>
      <c r="C10" s="7" t="s">
        <v>40</v>
      </c>
      <c r="D10" s="8">
        <v>18203.21</v>
      </c>
      <c r="E10" s="8">
        <v>13549.27</v>
      </c>
      <c r="F10" s="8">
        <v>14833.22</v>
      </c>
      <c r="G10" s="8">
        <v>12211.11</v>
      </c>
      <c r="H10" s="8">
        <f t="shared" si="0"/>
        <v>58796.81</v>
      </c>
      <c r="I10" s="7">
        <v>2939.84</v>
      </c>
      <c r="J10" s="7">
        <v>2673.04</v>
      </c>
      <c r="K10" s="9">
        <v>53183.93</v>
      </c>
    </row>
    <row r="11" spans="1:17" x14ac:dyDescent="0.3">
      <c r="A11" s="5">
        <v>6</v>
      </c>
      <c r="B11" s="7" t="s">
        <v>8</v>
      </c>
      <c r="C11" s="7" t="s">
        <v>34</v>
      </c>
      <c r="D11" s="8">
        <v>11570.64</v>
      </c>
      <c r="E11" s="8">
        <v>12456.3</v>
      </c>
      <c r="F11" s="8">
        <v>13145.23</v>
      </c>
      <c r="G11" s="8">
        <v>16855.34</v>
      </c>
      <c r="H11" s="8">
        <f t="shared" si="0"/>
        <v>54027.509999999995</v>
      </c>
      <c r="I11" s="7">
        <v>2701.38</v>
      </c>
      <c r="J11" s="7">
        <v>2712.88</v>
      </c>
      <c r="K11" s="9">
        <v>48613.249999999993</v>
      </c>
    </row>
    <row r="12" spans="1:17" x14ac:dyDescent="0.3">
      <c r="A12" s="5">
        <v>7</v>
      </c>
      <c r="B12" s="7" t="s">
        <v>17</v>
      </c>
      <c r="C12" s="7" t="s">
        <v>41</v>
      </c>
      <c r="D12" s="8">
        <v>10600.45</v>
      </c>
      <c r="E12" s="8">
        <v>11503.22</v>
      </c>
      <c r="F12" s="8">
        <v>12564.22</v>
      </c>
      <c r="G12" s="8">
        <v>16820.77</v>
      </c>
      <c r="H12" s="8">
        <f t="shared" si="0"/>
        <v>51488.66</v>
      </c>
      <c r="I12" s="7">
        <v>2574.4299999999998</v>
      </c>
      <c r="J12" s="7">
        <v>2078.17</v>
      </c>
      <c r="K12" s="9">
        <v>46836.060000000005</v>
      </c>
    </row>
    <row r="13" spans="1:17" x14ac:dyDescent="0.3">
      <c r="A13" s="5">
        <v>8</v>
      </c>
      <c r="B13" s="7" t="s">
        <v>9</v>
      </c>
      <c r="C13" s="7" t="s">
        <v>35</v>
      </c>
      <c r="D13" s="8">
        <v>12900.35</v>
      </c>
      <c r="E13" s="8">
        <v>12856.77</v>
      </c>
      <c r="F13" s="8">
        <v>15577.81</v>
      </c>
      <c r="G13" s="8">
        <v>14568.67</v>
      </c>
      <c r="H13" s="8">
        <f t="shared" si="0"/>
        <v>55903.6</v>
      </c>
      <c r="I13" s="7">
        <v>2795.18</v>
      </c>
      <c r="J13" s="7">
        <v>3181.9</v>
      </c>
      <c r="K13" s="9">
        <v>49926.52</v>
      </c>
    </row>
    <row r="14" spans="1:17" ht="28.8" x14ac:dyDescent="0.3">
      <c r="A14" s="5">
        <v>9</v>
      </c>
      <c r="B14" s="6" t="s">
        <v>10</v>
      </c>
      <c r="C14" s="7" t="s">
        <v>30</v>
      </c>
      <c r="D14" s="8">
        <v>9867.99</v>
      </c>
      <c r="E14" s="8">
        <v>16431.12</v>
      </c>
      <c r="F14" s="8">
        <v>11244.34</v>
      </c>
      <c r="G14" s="8">
        <v>19546.32</v>
      </c>
      <c r="H14" s="8">
        <f>SUM(D14:G14)</f>
        <v>57089.77</v>
      </c>
      <c r="I14" s="7">
        <v>2854.49</v>
      </c>
      <c r="J14" s="7">
        <v>2160.9299999999998</v>
      </c>
      <c r="K14" s="9">
        <v>52074.35</v>
      </c>
    </row>
    <row r="15" spans="1:17" x14ac:dyDescent="0.3">
      <c r="A15" s="10">
        <v>10</v>
      </c>
      <c r="B15" s="11" t="s">
        <v>11</v>
      </c>
      <c r="C15" s="11" t="s">
        <v>31</v>
      </c>
      <c r="D15" s="12">
        <v>12113.44</v>
      </c>
      <c r="E15" s="12">
        <v>11965.33</v>
      </c>
      <c r="F15" s="12">
        <v>13644.39</v>
      </c>
      <c r="G15" s="12">
        <v>7652.23</v>
      </c>
      <c r="H15" s="12">
        <f t="shared" si="0"/>
        <v>45375.39</v>
      </c>
      <c r="I15" s="11">
        <v>2268.77</v>
      </c>
      <c r="J15" s="11">
        <v>549.85</v>
      </c>
      <c r="K15" s="13">
        <v>42556.77</v>
      </c>
    </row>
    <row r="18" spans="2:3" x14ac:dyDescent="0.3">
      <c r="B18" s="7" t="s">
        <v>18</v>
      </c>
      <c r="C18" s="15">
        <v>0.05</v>
      </c>
    </row>
    <row r="21" spans="2:3" ht="28.8" x14ac:dyDescent="0.3">
      <c r="B21" s="6" t="s">
        <v>22</v>
      </c>
      <c r="C21" s="7" t="s">
        <v>23</v>
      </c>
    </row>
    <row r="22" spans="2:3" x14ac:dyDescent="0.3">
      <c r="B22" s="7" t="s">
        <v>26</v>
      </c>
      <c r="C22" s="7" t="s">
        <v>20</v>
      </c>
    </row>
    <row r="23" spans="2:3" x14ac:dyDescent="0.3">
      <c r="B23" s="7" t="s">
        <v>25</v>
      </c>
      <c r="C23" s="7" t="s">
        <v>21</v>
      </c>
    </row>
    <row r="24" spans="2:3" x14ac:dyDescent="0.3">
      <c r="B24" s="14" t="s">
        <v>27</v>
      </c>
      <c r="C24" s="7" t="s">
        <v>24</v>
      </c>
    </row>
    <row r="25" spans="2:3" x14ac:dyDescent="0.3">
      <c r="B25" s="7" t="s">
        <v>28</v>
      </c>
      <c r="C25" s="7" t="s">
        <v>38</v>
      </c>
    </row>
    <row r="26" spans="2:3" x14ac:dyDescent="0.3">
      <c r="B26" s="7" t="s">
        <v>36</v>
      </c>
      <c r="C26" s="7" t="s">
        <v>37</v>
      </c>
    </row>
  </sheetData>
  <mergeCells count="1">
    <mergeCell ref="C1: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6" r:id="rId3" name="CommandButton6">
          <controlPr defaultSize="0" autoLine="0" r:id="rId4">
            <anchor moveWithCells="1">
              <from>
                <xdr:col>6</xdr:col>
                <xdr:colOff>350520</xdr:colOff>
                <xdr:row>16</xdr:row>
                <xdr:rowOff>99060</xdr:rowOff>
              </from>
              <to>
                <xdr:col>8</xdr:col>
                <xdr:colOff>152400</xdr:colOff>
                <xdr:row>20</xdr:row>
                <xdr:rowOff>30480</xdr:rowOff>
              </to>
            </anchor>
          </controlPr>
        </control>
      </mc:Choice>
      <mc:Fallback>
        <control shapeId="1036" r:id="rId3" name="CommandButton6"/>
      </mc:Fallback>
    </mc:AlternateContent>
    <mc:AlternateContent xmlns:mc="http://schemas.openxmlformats.org/markup-compatibility/2006">
      <mc:Choice Requires="x14">
        <control shapeId="1035" r:id="rId5" name="CommandButton5">
          <controlPr defaultSize="0" autoLine="0" r:id="rId6">
            <anchor moveWithCells="1">
              <from>
                <xdr:col>4</xdr:col>
                <xdr:colOff>1508760</xdr:colOff>
                <xdr:row>16</xdr:row>
                <xdr:rowOff>144780</xdr:rowOff>
              </from>
              <to>
                <xdr:col>5</xdr:col>
                <xdr:colOff>1219200</xdr:colOff>
                <xdr:row>20</xdr:row>
                <xdr:rowOff>15240</xdr:rowOff>
              </to>
            </anchor>
          </controlPr>
        </control>
      </mc:Choice>
      <mc:Fallback>
        <control shapeId="1035" r:id="rId5" name="CommandButton5"/>
      </mc:Fallback>
    </mc:AlternateContent>
    <mc:AlternateContent xmlns:mc="http://schemas.openxmlformats.org/markup-compatibility/2006">
      <mc:Choice Requires="x14">
        <control shapeId="1034" r:id="rId7" name="CommandButton4">
          <controlPr defaultSize="0" autoLine="0" autoPict="0" r:id="rId8">
            <anchor moveWithCells="1">
              <from>
                <xdr:col>3</xdr:col>
                <xdr:colOff>495300</xdr:colOff>
                <xdr:row>16</xdr:row>
                <xdr:rowOff>129540</xdr:rowOff>
              </from>
              <to>
                <xdr:col>4</xdr:col>
                <xdr:colOff>1112520</xdr:colOff>
                <xdr:row>20</xdr:row>
                <xdr:rowOff>38100</xdr:rowOff>
              </to>
            </anchor>
          </controlPr>
        </control>
      </mc:Choice>
      <mc:Fallback>
        <control shapeId="1034" r:id="rId7" name="CommandButton4"/>
      </mc:Fallback>
    </mc:AlternateContent>
    <mc:AlternateContent xmlns:mc="http://schemas.openxmlformats.org/markup-compatibility/2006">
      <mc:Choice Requires="x14">
        <control shapeId="1033" r:id="rId9" name="CommandButton3">
          <controlPr defaultSize="0" autoLine="0" r:id="rId10">
            <anchor moveWithCells="1">
              <from>
                <xdr:col>6</xdr:col>
                <xdr:colOff>365760</xdr:colOff>
                <xdr:row>20</xdr:row>
                <xdr:rowOff>220980</xdr:rowOff>
              </from>
              <to>
                <xdr:col>8</xdr:col>
                <xdr:colOff>114300</xdr:colOff>
                <xdr:row>24</xdr:row>
                <xdr:rowOff>30480</xdr:rowOff>
              </to>
            </anchor>
          </controlPr>
        </control>
      </mc:Choice>
      <mc:Fallback>
        <control shapeId="1033" r:id="rId9" name="CommandButton3"/>
      </mc:Fallback>
    </mc:AlternateContent>
    <mc:AlternateContent xmlns:mc="http://schemas.openxmlformats.org/markup-compatibility/2006">
      <mc:Choice Requires="x14">
        <control shapeId="1032" r:id="rId11" name="CommandButton2">
          <controlPr defaultSize="0" autoLine="0" r:id="rId12">
            <anchor moveWithCells="1">
              <from>
                <xdr:col>4</xdr:col>
                <xdr:colOff>1470660</xdr:colOff>
                <xdr:row>20</xdr:row>
                <xdr:rowOff>251460</xdr:rowOff>
              </from>
              <to>
                <xdr:col>6</xdr:col>
                <xdr:colOff>15240</xdr:colOff>
                <xdr:row>24</xdr:row>
                <xdr:rowOff>38100</xdr:rowOff>
              </to>
            </anchor>
          </controlPr>
        </control>
      </mc:Choice>
      <mc:Fallback>
        <control shapeId="1032" r:id="rId11" name="CommandButton2"/>
      </mc:Fallback>
    </mc:AlternateContent>
    <mc:AlternateContent xmlns:mc="http://schemas.openxmlformats.org/markup-compatibility/2006">
      <mc:Choice Requires="x14">
        <control shapeId="1031" r:id="rId13" name="CommandButton1">
          <controlPr defaultSize="0" autoLine="0" r:id="rId14">
            <anchor moveWithCells="1">
              <from>
                <xdr:col>3</xdr:col>
                <xdr:colOff>457200</xdr:colOff>
                <xdr:row>20</xdr:row>
                <xdr:rowOff>259080</xdr:rowOff>
              </from>
              <to>
                <xdr:col>4</xdr:col>
                <xdr:colOff>1097280</xdr:colOff>
                <xdr:row>24</xdr:row>
                <xdr:rowOff>53340</xdr:rowOff>
              </to>
            </anchor>
          </controlPr>
        </control>
      </mc:Choice>
      <mc:Fallback>
        <control shapeId="1031" r:id="rId13" name="CommandButton1"/>
      </mc:Fallback>
    </mc:AlternateContent>
  </controls>
  <tableParts count="1"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Mbanugo</dc:creator>
  <cp:lastModifiedBy>Sean Mbanugo</cp:lastModifiedBy>
  <dcterms:created xsi:type="dcterms:W3CDTF">2024-01-31T16:45:38Z</dcterms:created>
  <dcterms:modified xsi:type="dcterms:W3CDTF">2024-02-05T20:26:14Z</dcterms:modified>
</cp:coreProperties>
</file>