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MBANS8A1\Desktop\"/>
    </mc:Choice>
  </mc:AlternateContent>
  <xr:revisionPtr revIDLastSave="0" documentId="13_ncr:1_{EEBAAA33-B3FF-4FA0-BD88-BE193BD91D65}" xr6:coauthVersionLast="47" xr6:coauthVersionMax="47" xr10:uidLastSave="{00000000-0000-0000-0000-000000000000}"/>
  <bookViews>
    <workbookView xWindow="-108" yWindow="-108" windowWidth="23256" windowHeight="12576" activeTab="1" xr2:uid="{8135C004-DE8D-426F-8200-7273FF084BBE}"/>
  </bookViews>
  <sheets>
    <sheet name="healthcareexpo_sheet" sheetId="1" r:id="rId1"/>
    <sheet name="pivot_sheet" sheetId="2" r:id="rId2"/>
  </sheets>
  <definedNames>
    <definedName name="Slicer_Healthcare_Stall__Name">#N/A</definedName>
  </definedNames>
  <calcPr calcId="191029"/>
  <pivotCaches>
    <pivotCache cacheId="7" r:id="rId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6" i="1" l="1"/>
  <c r="F16" i="1"/>
  <c r="E16" i="1"/>
  <c r="D16" i="1"/>
  <c r="H14" i="1"/>
  <c r="H7" i="1"/>
  <c r="H8" i="1"/>
  <c r="H9" i="1"/>
  <c r="H10" i="1"/>
  <c r="H11" i="1"/>
  <c r="H12" i="1"/>
  <c r="H13" i="1"/>
  <c r="H15" i="1"/>
  <c r="H6" i="1"/>
  <c r="H16" i="1" l="1"/>
</calcChain>
</file>

<file path=xl/sharedStrings.xml><?xml version="1.0" encoding="utf-8"?>
<sst xmlns="http://schemas.openxmlformats.org/spreadsheetml/2006/main" count="72" uniqueCount="49">
  <si>
    <t>Stand ID</t>
  </si>
  <si>
    <t>Placement</t>
  </si>
  <si>
    <t>Yearly Sales Tax</t>
  </si>
  <si>
    <t>Nil</t>
  </si>
  <si>
    <t>14p for each £1 over  £10300</t>
  </si>
  <si>
    <t>Taxable Income Brackets</t>
  </si>
  <si>
    <t>Tax on Income Brackets</t>
  </si>
  <si>
    <t>£456 plus 25p for each £1 over 45000</t>
  </si>
  <si>
    <t>£10301-£45000</t>
  </si>
  <si>
    <t>£0-£10300</t>
  </si>
  <si>
    <t>£45001-£56000</t>
  </si>
  <si>
    <t>£56001-£65000</t>
  </si>
  <si>
    <t>A4</t>
  </si>
  <si>
    <t>C1</t>
  </si>
  <si>
    <t>C2</t>
  </si>
  <si>
    <t>A1</t>
  </si>
  <si>
    <t>A3</t>
  </si>
  <si>
    <t>B2</t>
  </si>
  <si>
    <t>B4</t>
  </si>
  <si>
    <t>£65001 and over</t>
  </si>
  <si>
    <t>£2220 plus 35p for each £1 over £65000</t>
  </si>
  <si>
    <t>£1834 plus 30p for each £1 over £56000</t>
  </si>
  <si>
    <t>A2</t>
  </si>
  <si>
    <t>B1</t>
  </si>
  <si>
    <t>B3</t>
  </si>
  <si>
    <t>Healthcare Stall 
Name</t>
  </si>
  <si>
    <t>Rudy's IV solutions</t>
  </si>
  <si>
    <t>Charlie rectal 
suppositories</t>
  </si>
  <si>
    <t>Fabio's stomy pouches</t>
  </si>
  <si>
    <t>Mazy's syringes
and needles</t>
  </si>
  <si>
    <t>Oron's respirators</t>
  </si>
  <si>
    <t>Smithson's surgical tools</t>
  </si>
  <si>
    <t>Tamson's orthopaedic
implants</t>
  </si>
  <si>
    <t>Ted's graft solutions</t>
  </si>
  <si>
    <t>Milson's endoscopes</t>
  </si>
  <si>
    <t>Sale Items
1st Quarter Sales (£) 2023</t>
  </si>
  <si>
    <t>Sales Items
2nd Quarter Sales (£) 2023</t>
  </si>
  <si>
    <t>Sale Items
3rd Quarter Sales (£)
2023</t>
  </si>
  <si>
    <t>Sales Items
4th Quarter Sales (£) 2023</t>
  </si>
  <si>
    <t>Frank's Cleanliness Beds</t>
  </si>
  <si>
    <t>Kennington Healthcare Fair Expo Sales</t>
  </si>
  <si>
    <t>Gross 
Annual 
Income (£)</t>
  </si>
  <si>
    <t>Annual Sales
Tax Payable
(£)</t>
  </si>
  <si>
    <t>Annual Income 
Tax Payable (£)</t>
  </si>
  <si>
    <t>Net Income (£)</t>
  </si>
  <si>
    <t>Sum of Gross 
Annual 
Income (£)</t>
  </si>
  <si>
    <t>Row Labels</t>
  </si>
  <si>
    <t>Grand Total</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</si>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</sst>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2" x14ac:knownFonts="1">
    <font>
      <sz val="11"/>
      <color theme="1"/>
      <name val="Calibri"/>
      <family val="2"/>
      <scheme val="minor"/>
    </font>
    <font>
      <sz val="18"/>
      <color theme="1"/>
      <name val="Avenir Next LT Pro"/>
      <family val="2"/>
    </font>
  </fonts>
  <fills count="3">
    <fill>
      <patternFill patternType="none"/>
    </fill>
    <fill>
      <patternFill patternType="gray125"/>
    </fill>
    <fill>
      <patternFill patternType="solid">
        <fgColor theme="3" tint="0.59999389629810485"/>
        <bgColor indexed="64"/>
      </patternFill>
    </fill>
  </fills>
  <borders count="10">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s>
  <cellStyleXfs count="1">
    <xf numFmtId="0" fontId="0" fillId="0" borderId="0"/>
  </cellStyleXfs>
  <cellXfs count="21">
    <xf numFmtId="0" fontId="0" fillId="0" borderId="0" xfId="0"/>
    <xf numFmtId="0" fontId="0" fillId="0" borderId="0" xfId="0" applyAlignment="1">
      <alignment horizontal="center"/>
    </xf>
    <xf numFmtId="0" fontId="0" fillId="0" borderId="2" xfId="0" applyBorder="1"/>
    <xf numFmtId="0" fontId="0" fillId="0" borderId="3" xfId="0" applyBorder="1" applyAlignment="1">
      <alignment wrapText="1"/>
    </xf>
    <xf numFmtId="0" fontId="0" fillId="0" borderId="4" xfId="0" applyBorder="1" applyAlignment="1">
      <alignment wrapText="1"/>
    </xf>
    <xf numFmtId="0" fontId="0" fillId="0" borderId="5" xfId="0" applyBorder="1"/>
    <xf numFmtId="0" fontId="0" fillId="0" borderId="1" xfId="0" applyBorder="1" applyAlignment="1">
      <alignment wrapText="1"/>
    </xf>
    <xf numFmtId="0" fontId="0" fillId="0" borderId="1" xfId="0" applyBorder="1"/>
    <xf numFmtId="2" fontId="0" fillId="0" borderId="1" xfId="0" applyNumberFormat="1" applyBorder="1"/>
    <xf numFmtId="0" fontId="0" fillId="0" borderId="6" xfId="0" applyBorder="1"/>
    <xf numFmtId="0" fontId="0" fillId="0" borderId="7" xfId="0" applyBorder="1"/>
    <xf numFmtId="0" fontId="0" fillId="0" borderId="8" xfId="0" applyBorder="1"/>
    <xf numFmtId="2" fontId="0" fillId="0" borderId="8" xfId="0" applyNumberFormat="1" applyBorder="1"/>
    <xf numFmtId="0" fontId="0" fillId="0" borderId="9" xfId="0" applyBorder="1"/>
    <xf numFmtId="6" fontId="0" fillId="0" borderId="1" xfId="0" applyNumberFormat="1" applyBorder="1"/>
    <xf numFmtId="9" fontId="0" fillId="0" borderId="1" xfId="0" applyNumberFormat="1" applyBorder="1"/>
    <xf numFmtId="0" fontId="1" fillId="2" borderId="0" xfId="0" applyFont="1" applyFill="1" applyAlignment="1">
      <alignment horizontal="center"/>
    </xf>
    <xf numFmtId="0" fontId="0" fillId="2" borderId="0" xfId="0" applyFill="1" applyAlignment="1">
      <alignment horizontal="center"/>
    </xf>
    <xf numFmtId="0"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15">
    <dxf>
      <border diagonalUp="0" diagonalDown="0">
        <left style="thin">
          <color auto="1"/>
        </left>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2" formatCode="0.0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2" formatCode="0.0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2" formatCode="0.0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2" formatCode="0.0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2" formatCode="0.00"/>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border>
        <bottom style="thin">
          <color auto="1"/>
        </bottom>
      </border>
    </dxf>
    <dxf>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[healthcarefair_expo_sales_macros.xlsm]pivot_sheet!PivotTable1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pivot_sheet!$B$1</c:f>
              <c:strCache>
                <c:ptCount val="1"/>
                <c:pt idx="0">
                  <c:v>Total</c:v>
                </c:pt>
              </c:strCache>
            </c:strRef>
          </c:tx>
          <c:spPr>
            <a:solidFill>
              <a:schemeClr val="accent1"/>
            </a:solidFill>
            <a:ln>
              <a:noFill/>
            </a:ln>
            <a:effectLst/>
          </c:spPr>
          <c:invertIfNegative val="0"/>
          <c:cat>
            <c:strRef>
              <c:f>pivot_sheet!$A$2:$A$12</c:f>
              <c:strCache>
                <c:ptCount val="10"/>
                <c:pt idx="0">
                  <c:v>Charlie rectal 
suppositories</c:v>
                </c:pt>
                <c:pt idx="1">
                  <c:v>Fabio's stomy pouches</c:v>
                </c:pt>
                <c:pt idx="2">
                  <c:v>Frank's Cleanliness Beds</c:v>
                </c:pt>
                <c:pt idx="3">
                  <c:v>Mazy's syringes
and needles</c:v>
                </c:pt>
                <c:pt idx="4">
                  <c:v>Milson's endoscopes</c:v>
                </c:pt>
                <c:pt idx="5">
                  <c:v>Oron's respirators</c:v>
                </c:pt>
                <c:pt idx="6">
                  <c:v>Rudy's IV solutions</c:v>
                </c:pt>
                <c:pt idx="7">
                  <c:v>Smithson's surgical tools</c:v>
                </c:pt>
                <c:pt idx="8">
                  <c:v>Tamson's orthopaedic
implants</c:v>
                </c:pt>
                <c:pt idx="9">
                  <c:v>Ted's graft solutions</c:v>
                </c:pt>
              </c:strCache>
            </c:strRef>
          </c:cat>
          <c:val>
            <c:numRef>
              <c:f>pivot_sheet!$B$2:$B$12</c:f>
              <c:numCache>
                <c:formatCode>General</c:formatCode>
                <c:ptCount val="10"/>
                <c:pt idx="0">
                  <c:v>44160.66</c:v>
                </c:pt>
                <c:pt idx="1">
                  <c:v>53223.259999999995</c:v>
                </c:pt>
                <c:pt idx="2">
                  <c:v>45375.39</c:v>
                </c:pt>
                <c:pt idx="3">
                  <c:v>59612.91</c:v>
                </c:pt>
                <c:pt idx="4">
                  <c:v>57089.77</c:v>
                </c:pt>
                <c:pt idx="5">
                  <c:v>58796.81</c:v>
                </c:pt>
                <c:pt idx="6">
                  <c:v>48435.029999999992</c:v>
                </c:pt>
                <c:pt idx="7">
                  <c:v>54027.509999999995</c:v>
                </c:pt>
                <c:pt idx="8">
                  <c:v>51488.66</c:v>
                </c:pt>
                <c:pt idx="9">
                  <c:v>55903.6</c:v>
                </c:pt>
              </c:numCache>
            </c:numRef>
          </c:val>
          <c:extLst>
            <c:ext xmlns:c16="http://schemas.microsoft.com/office/drawing/2014/chart" uri="{C3380CC4-5D6E-409C-BE32-E72D297353CC}">
              <c16:uniqueId val="{00000000-D6DC-4994-B5A9-3F7AFE864F6B}"/>
            </c:ext>
          </c:extLst>
        </c:ser>
        <c:dLbls>
          <c:showLegendKey val="0"/>
          <c:showVal val="0"/>
          <c:showCatName val="0"/>
          <c:showSerName val="0"/>
          <c:showPercent val="0"/>
          <c:showBubbleSize val="0"/>
        </c:dLbls>
        <c:gapWidth val="219"/>
        <c:overlap val="-27"/>
        <c:axId val="2054767247"/>
        <c:axId val="2054764367"/>
      </c:barChart>
      <c:catAx>
        <c:axId val="205476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764367"/>
        <c:crosses val="autoZero"/>
        <c:auto val="1"/>
        <c:lblAlgn val="ctr"/>
        <c:lblOffset val="100"/>
        <c:noMultiLvlLbl val="0"/>
      </c:catAx>
      <c:valAx>
        <c:axId val="2054764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767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[healthcarefair_expo_sales_macros.xlsm]pivot_sheet!PivotTable3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effectLst>
                    <a:outerShdw blurRad="50800" dist="50800" dir="5400000" sx="4000" sy="4000" algn="ctr" rotWithShape="0">
                      <a:srgbClr val="000000">
                        <a:alpha val="43137"/>
                      </a:srgbClr>
                    </a:outerShdw>
                  </a:effectLst>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4">
              <a:lumMod val="60000"/>
            </a:schemeClr>
          </a:solidFill>
          <a:ln>
            <a:noFill/>
          </a:ln>
          <a:effectLst/>
        </c:spPr>
      </c:pivotFmt>
      <c:pivotFmt>
        <c:idx val="3"/>
        <c:spPr>
          <a:solidFill>
            <a:schemeClr val="accent1"/>
          </a:solidFill>
          <a:ln>
            <a:noFill/>
          </a:ln>
          <a:effectLst/>
        </c:spPr>
      </c:pivotFmt>
    </c:pivotFmts>
    <c:plotArea>
      <c:layout/>
      <c:pieChart>
        <c:varyColors val="1"/>
        <c:ser>
          <c:idx val="0"/>
          <c:order val="0"/>
          <c:tx>
            <c:strRef>
              <c:f>pivot_sheet!$B$19</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5-5CAB-400B-B933-78B623914164}"/>
              </c:ext>
            </c:extLst>
          </c:dPt>
          <c:dPt>
            <c:idx val="1"/>
            <c:bubble3D val="0"/>
            <c:spPr>
              <a:solidFill>
                <a:schemeClr val="accent2"/>
              </a:solidFill>
              <a:ln>
                <a:noFill/>
              </a:ln>
              <a:effectLst/>
            </c:spPr>
            <c:extLst>
              <c:ext xmlns:c16="http://schemas.microsoft.com/office/drawing/2014/chart" uri="{C3380CC4-5D6E-409C-BE32-E72D297353CC}">
                <c16:uniqueId val="{00000002-5CAB-400B-B933-78B623914164}"/>
              </c:ext>
            </c:extLst>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extLst>
              <c:ext xmlns:c16="http://schemas.microsoft.com/office/drawing/2014/chart" uri="{C3380CC4-5D6E-409C-BE32-E72D297353CC}">
                <c16:uniqueId val="{00000004-5CAB-400B-B933-78B6239141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effectLst>
                      <a:outerShdw blurRad="50800" dist="50800" dir="5400000" sx="4000" sy="4000" algn="ctr" rotWithShape="0">
                        <a:srgbClr val="000000">
                          <a:alpha val="43137"/>
                        </a:srgbClr>
                      </a:outerShdw>
                    </a:effectLst>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pivot_sheet!$A$20:$A$30</c:f>
              <c:strCache>
                <c:ptCount val="10"/>
                <c:pt idx="0">
                  <c:v>Charlie rectal 
suppositories</c:v>
                </c:pt>
                <c:pt idx="1">
                  <c:v>Fabio's stomy pouches</c:v>
                </c:pt>
                <c:pt idx="2">
                  <c:v>Frank's Cleanliness Beds</c:v>
                </c:pt>
                <c:pt idx="3">
                  <c:v>Mazy's syringes
and needles</c:v>
                </c:pt>
                <c:pt idx="4">
                  <c:v>Milson's endoscopes</c:v>
                </c:pt>
                <c:pt idx="5">
                  <c:v>Oron's respirators</c:v>
                </c:pt>
                <c:pt idx="6">
                  <c:v>Rudy's IV solutions</c:v>
                </c:pt>
                <c:pt idx="7">
                  <c:v>Smithson's surgical tools</c:v>
                </c:pt>
                <c:pt idx="8">
                  <c:v>Tamson's orthopaedic
implants</c:v>
                </c:pt>
                <c:pt idx="9">
                  <c:v>Ted's graft solutions</c:v>
                </c:pt>
              </c:strCache>
            </c:strRef>
          </c:cat>
          <c:val>
            <c:numRef>
              <c:f>pivot_sheet!$B$20:$B$30</c:f>
              <c:numCache>
                <c:formatCode>General</c:formatCode>
                <c:ptCount val="10"/>
                <c:pt idx="0">
                  <c:v>44160.66</c:v>
                </c:pt>
                <c:pt idx="1">
                  <c:v>53223.259999999995</c:v>
                </c:pt>
                <c:pt idx="2">
                  <c:v>45375.39</c:v>
                </c:pt>
                <c:pt idx="3">
                  <c:v>59612.91</c:v>
                </c:pt>
                <c:pt idx="4">
                  <c:v>57089.77</c:v>
                </c:pt>
                <c:pt idx="5">
                  <c:v>58796.81</c:v>
                </c:pt>
                <c:pt idx="6">
                  <c:v>48435.029999999992</c:v>
                </c:pt>
                <c:pt idx="7">
                  <c:v>54027.509999999995</c:v>
                </c:pt>
                <c:pt idx="8">
                  <c:v>51488.66</c:v>
                </c:pt>
                <c:pt idx="9">
                  <c:v>55903.6</c:v>
                </c:pt>
              </c:numCache>
            </c:numRef>
          </c:val>
          <c:extLst>
            <c:ext xmlns:c16="http://schemas.microsoft.com/office/drawing/2014/chart" uri="{C3380CC4-5D6E-409C-BE32-E72D297353CC}">
              <c16:uniqueId val="{00000000-5CAB-400B-B933-78B62391416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457200</xdr:colOff>
          <xdr:row>20</xdr:row>
          <xdr:rowOff>259080</xdr:rowOff>
        </xdr:from>
        <xdr:to>
          <xdr:col>4</xdr:col>
          <xdr:colOff>1097280</xdr:colOff>
          <xdr:row>24</xdr:row>
          <xdr:rowOff>53340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1470660</xdr:colOff>
          <xdr:row>20</xdr:row>
          <xdr:rowOff>251460</xdr:rowOff>
        </xdr:from>
        <xdr:to>
          <xdr:col>6</xdr:col>
          <xdr:colOff>15240</xdr:colOff>
          <xdr:row>24</xdr:row>
          <xdr:rowOff>38100</xdr:rowOff>
        </xdr:to>
        <xdr:sp macro="" textlink="">
          <xdr:nvSpPr>
            <xdr:cNvPr id="1032" name="CommandButton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365760</xdr:colOff>
          <xdr:row>20</xdr:row>
          <xdr:rowOff>220980</xdr:rowOff>
        </xdr:from>
        <xdr:to>
          <xdr:col>8</xdr:col>
          <xdr:colOff>114300</xdr:colOff>
          <xdr:row>24</xdr:row>
          <xdr:rowOff>30480</xdr:rowOff>
        </xdr:to>
        <xdr:sp macro="" textlink="">
          <xdr:nvSpPr>
            <xdr:cNvPr id="1033" name="CommandButton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16</xdr:row>
          <xdr:rowOff>129540</xdr:rowOff>
        </xdr:from>
        <xdr:to>
          <xdr:col>4</xdr:col>
          <xdr:colOff>1112520</xdr:colOff>
          <xdr:row>20</xdr:row>
          <xdr:rowOff>38100</xdr:rowOff>
        </xdr:to>
        <xdr:sp macro="" textlink="">
          <xdr:nvSpPr>
            <xdr:cNvPr id="1034" name="CommandButton4"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1508760</xdr:colOff>
          <xdr:row>16</xdr:row>
          <xdr:rowOff>144780</xdr:rowOff>
        </xdr:from>
        <xdr:to>
          <xdr:col>5</xdr:col>
          <xdr:colOff>1219200</xdr:colOff>
          <xdr:row>20</xdr:row>
          <xdr:rowOff>15240</xdr:rowOff>
        </xdr:to>
        <xdr:sp macro="" textlink="">
          <xdr:nvSpPr>
            <xdr:cNvPr id="1035" name="CommandButton5"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350520</xdr:colOff>
          <xdr:row>16</xdr:row>
          <xdr:rowOff>99060</xdr:rowOff>
        </xdr:from>
        <xdr:to>
          <xdr:col>8</xdr:col>
          <xdr:colOff>152400</xdr:colOff>
          <xdr:row>20</xdr:row>
          <xdr:rowOff>30480</xdr:rowOff>
        </xdr:to>
        <xdr:sp macro="" textlink="">
          <xdr:nvSpPr>
            <xdr:cNvPr id="1036" name="CommandButton6"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441960</xdr:colOff>
      <xdr:row>15</xdr:row>
      <xdr:rowOff>114301</xdr:rowOff>
    </xdr:from>
    <xdr:to>
      <xdr:col>10</xdr:col>
      <xdr:colOff>274320</xdr:colOff>
      <xdr:row>27</xdr:row>
      <xdr:rowOff>45721</xdr:rowOff>
    </xdr:to>
    <mc:AlternateContent xmlns:mc="http://schemas.openxmlformats.org/markup-compatibility/2006" xmlns:sle15="http://schemas.microsoft.com/office/drawing/2012/slicer">
      <mc:Choice Requires="sle15">
        <xdr:graphicFrame macro="">
          <xdr:nvGraphicFramePr>
            <xdr:cNvPr id="3" name="Healthcare Stall &#10;Nam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Healthcare Stall &#10;Name"/>
            </a:graphicData>
          </a:graphic>
        </xdr:graphicFrame>
      </mc:Choice>
      <mc:Fallback xmlns="">
        <xdr:sp macro="" textlink="">
          <xdr:nvSpPr>
            <xdr:cNvPr id="0" name=""/>
            <xdr:cNvSpPr>
              <a:spLocks noTextEdit="1"/>
            </xdr:cNvSpPr>
          </xdr:nvSpPr>
          <xdr:spPr>
            <a:xfrm>
              <a:off x="12809220" y="4076701"/>
              <a:ext cx="1805940" cy="230886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320040</xdr:colOff>
      <xdr:row>0</xdr:row>
      <xdr:rowOff>0</xdr:rowOff>
    </xdr:from>
    <xdr:to>
      <xdr:col>10</xdr:col>
      <xdr:colOff>15240</xdr:colOff>
      <xdr:row>15</xdr:row>
      <xdr:rowOff>0</xdr:rowOff>
    </xdr:to>
    <xdr:graphicFrame macro="">
      <xdr:nvGraphicFramePr>
        <xdr:cNvPr id="2" name="Chart 1">
          <a:extLst>
            <a:ext uri="{FF2B5EF4-FFF2-40B4-BE49-F238E27FC236}">
              <a16:creationId xmlns:a16="http://schemas.microsoft.com/office/drawing/2014/main" id="{4BB0C38B-D02B-5C88-7DC6-42F645AECD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381000</xdr:colOff>
      <xdr:row>15</xdr:row>
      <xdr:rowOff>175260</xdr:rowOff>
    </xdr:from>
    <xdr:to>
      <xdr:col>12</xdr:col>
      <xdr:colOff>426720</xdr:colOff>
      <xdr:row>43</xdr:row>
      <xdr:rowOff>76200</xdr:rowOff>
    </xdr:to>
    <xdr:graphicFrame macro="">
      <xdr:nvGraphicFramePr>
        <xdr:cNvPr id="3" name="Chart 2">
          <a:extLst>
            <a:ext uri="{FF2B5EF4-FFF2-40B4-BE49-F238E27FC236}">
              <a16:creationId xmlns:a16="http://schemas.microsoft.com/office/drawing/2014/main" id="{598939C9-99D1-64E7-2500-8154C9592B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ANS8A1" refreshedDate="45383.658179398146" createdVersion="8" refreshedVersion="8" minRefreshableVersion="3" recordCount="10" xr:uid="{B75CB583-BB16-4E97-AF6D-73397BBACA96}">
  <cacheSource type="worksheet">
    <worksheetSource name="Healthcare_Table"/>
  </cacheSource>
  <cacheFields count="11">
    <cacheField name="Stand ID" numFmtId="0">
      <sharedItems containsSemiMixedTypes="0" containsString="0" containsNumber="1" containsInteger="1" minValue="1" maxValue="10"/>
    </cacheField>
    <cacheField name="Healthcare Stall _x000a_Name" numFmtId="0">
      <sharedItems count="10">
        <s v="Rudy's IV solutions"/>
        <s v="Charlie rectal _x000a_suppositories"/>
        <s v="Mazy's syringes_x000a_and needles"/>
        <s v="Fabio's stomy pouches"/>
        <s v="Oron's respirators"/>
        <s v="Smithson's surgical tools"/>
        <s v="Tamson's orthopaedic_x000a_implants"/>
        <s v="Ted's graft solutions"/>
        <s v="Milson's endoscopes"/>
        <s v="Frank's Cleanliness Beds"/>
      </sharedItems>
    </cacheField>
    <cacheField name="Placement" numFmtId="0">
      <sharedItems/>
    </cacheField>
    <cacheField name="Sale Items_x000a_1st Quarter Sales (£) 2023" numFmtId="2">
      <sharedItems containsSemiMixedTypes="0" containsString="0" containsNumber="1" minValue="9477.5400000000009" maxValue="18203.21"/>
    </cacheField>
    <cacheField name="Sales Items_x000a_2nd Quarter Sales (£) 2023" numFmtId="2">
      <sharedItems containsSemiMixedTypes="0" containsString="0" containsNumber="1" minValue="11226.92" maxValue="22321.45"/>
    </cacheField>
    <cacheField name="Sale Items_x000a_3rd Quarter Sales (£)_x000a_2023" numFmtId="2">
      <sharedItems containsSemiMixedTypes="0" containsString="0" containsNumber="1" minValue="9982.91" maxValue="15577.81"/>
    </cacheField>
    <cacheField name="Sales Items_x000a_4th Quarter Sales (£) 2023" numFmtId="2">
      <sharedItems containsSemiMixedTypes="0" containsString="0" containsNumber="1" minValue="7652.23" maxValue="19546.32"/>
    </cacheField>
    <cacheField name="Gross _x000a_Annual _x000a_Income (£)" numFmtId="2">
      <sharedItems containsSemiMixedTypes="0" containsString="0" containsNumber="1" minValue="44160.66" maxValue="59612.91"/>
    </cacheField>
    <cacheField name="Annual Sales_x000a_Tax Payable_x000a_(£)" numFmtId="0">
      <sharedItems containsSemiMixedTypes="0" containsString="0" containsNumber="1" minValue="2208.0300000000002" maxValue="2980.65"/>
    </cacheField>
    <cacheField name="Annual Income _x000a_Tax Payable (£)" numFmtId="0">
      <sharedItems containsSemiMixedTypes="0" containsString="0" containsNumber="1" minValue="549.85" maxValue="4740.49"/>
    </cacheField>
    <cacheField name="Net Income (£)" numFmtId="0">
      <sharedItems containsSemiMixedTypes="0" containsString="0" containsNumber="1" minValue="37212.14" maxValue="53714.3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1"/>
    <x v="0"/>
    <s v="A1"/>
    <n v="12546.32"/>
    <n v="11226.92"/>
    <n v="9982.91"/>
    <n v="14678.88"/>
    <n v="48435.029999999992"/>
    <n v="2421.75"/>
    <n v="1314.76"/>
    <n v="44698.51999999999"/>
  </r>
  <r>
    <n v="2"/>
    <x v="1"/>
    <s v="A2"/>
    <n v="9477.5400000000009"/>
    <n v="13621.34"/>
    <n v="11305.44"/>
    <n v="9756.34"/>
    <n v="44160.66"/>
    <n v="2208.0300000000002"/>
    <n v="4740.49"/>
    <n v="37212.14"/>
  </r>
  <r>
    <n v="3"/>
    <x v="2"/>
    <s v="A3"/>
    <n v="15932.54"/>
    <n v="22321.45"/>
    <n v="10900.69"/>
    <n v="10458.23"/>
    <n v="59612.91"/>
    <n v="2980.65"/>
    <n v="2917.87"/>
    <n v="53714.39"/>
  </r>
  <r>
    <n v="4"/>
    <x v="3"/>
    <s v="A4"/>
    <n v="17399.25"/>
    <n v="16354.89"/>
    <n v="10123.450000000001"/>
    <n v="9345.67"/>
    <n v="53223.259999999995"/>
    <n v="2661.16"/>
    <n v="2511.81"/>
    <n v="48050.289999999994"/>
  </r>
  <r>
    <n v="5"/>
    <x v="4"/>
    <s v="B1"/>
    <n v="18203.21"/>
    <n v="13549.27"/>
    <n v="14833.22"/>
    <n v="12211.11"/>
    <n v="58796.81"/>
    <n v="2939.84"/>
    <n v="2673.04"/>
    <n v="53183.93"/>
  </r>
  <r>
    <n v="6"/>
    <x v="5"/>
    <s v="B2"/>
    <n v="11570.64"/>
    <n v="12456.3"/>
    <n v="13145.23"/>
    <n v="16855.34"/>
    <n v="54027.509999999995"/>
    <n v="2701.38"/>
    <n v="2712.88"/>
    <n v="48613.249999999993"/>
  </r>
  <r>
    <n v="7"/>
    <x v="6"/>
    <s v="B3"/>
    <n v="10600.45"/>
    <n v="11503.22"/>
    <n v="12564.22"/>
    <n v="16820.77"/>
    <n v="51488.66"/>
    <n v="2574.4299999999998"/>
    <n v="2078.17"/>
    <n v="46836.060000000005"/>
  </r>
  <r>
    <n v="8"/>
    <x v="7"/>
    <s v="B4"/>
    <n v="12900.35"/>
    <n v="12856.77"/>
    <n v="15577.81"/>
    <n v="14568.67"/>
    <n v="55903.6"/>
    <n v="2795.18"/>
    <n v="3181.9"/>
    <n v="49926.52"/>
  </r>
  <r>
    <n v="9"/>
    <x v="8"/>
    <s v="C1"/>
    <n v="9867.99"/>
    <n v="16431.12"/>
    <n v="11244.34"/>
    <n v="19546.32"/>
    <n v="57089.77"/>
    <n v="2854.49"/>
    <n v="2160.9299999999998"/>
    <n v="52074.35"/>
  </r>
  <r>
    <n v="10"/>
    <x v="9"/>
    <s v="C2"/>
    <n v="12113.44"/>
    <n v="11965.33"/>
    <n v="13644.39"/>
    <n v="7652.23"/>
    <n v="45375.39"/>
    <n v="2268.77"/>
    <n v="549.85"/>
    <n v="42556.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1D9D53-AD26-4C04-986A-3189B7EC9052}"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9:B30" firstHeaderRow="1" firstDataRow="1" firstDataCol="1"/>
  <pivotFields count="11">
    <pivotField showAll="0"/>
    <pivotField axis="axisRow" showAll="0">
      <items count="11">
        <item x="1"/>
        <item x="3"/>
        <item x="9"/>
        <item x="2"/>
        <item x="8"/>
        <item x="4"/>
        <item x="0"/>
        <item x="5"/>
        <item x="6"/>
        <item x="7"/>
        <item t="default"/>
      </items>
    </pivotField>
    <pivotField showAll="0"/>
    <pivotField numFmtId="2" showAll="0"/>
    <pivotField numFmtId="2" showAll="0"/>
    <pivotField numFmtId="2" showAll="0"/>
    <pivotField numFmtId="2" showAll="0"/>
    <pivotField dataField="1" numFmtId="2" showAll="0"/>
    <pivotField showAll="0"/>
    <pivotField showAll="0"/>
    <pivotField showAll="0"/>
  </pivotFields>
  <rowFields count="1">
    <field x="1"/>
  </rowFields>
  <rowItems count="11">
    <i>
      <x/>
    </i>
    <i>
      <x v="1"/>
    </i>
    <i>
      <x v="2"/>
    </i>
    <i>
      <x v="3"/>
    </i>
    <i>
      <x v="4"/>
    </i>
    <i>
      <x v="5"/>
    </i>
    <i>
      <x v="6"/>
    </i>
    <i>
      <x v="7"/>
    </i>
    <i>
      <x v="8"/>
    </i>
    <i>
      <x v="9"/>
    </i>
    <i t="grand">
      <x/>
    </i>
  </rowItems>
  <colItems count="1">
    <i/>
  </colItems>
  <dataFields count="1">
    <dataField name="Sum of Gross _x000a_Annual _x000a_Income (£)" fld="7"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9"/>
          </reference>
        </references>
      </pivotArea>
    </chartFormat>
    <chartFormat chart="0" format="3">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071856-A980-4F2C-98CA-5BBF6A140D7E}"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12" firstHeaderRow="1" firstDataRow="1" firstDataCol="1"/>
  <pivotFields count="11">
    <pivotField showAll="0"/>
    <pivotField axis="axisRow" showAll="0">
      <items count="11">
        <item x="1"/>
        <item x="3"/>
        <item x="9"/>
        <item x="2"/>
        <item x="8"/>
        <item x="4"/>
        <item x="0"/>
        <item x="5"/>
        <item x="6"/>
        <item x="7"/>
        <item t="default"/>
      </items>
    </pivotField>
    <pivotField showAll="0"/>
    <pivotField numFmtId="2" showAll="0"/>
    <pivotField numFmtId="2" showAll="0"/>
    <pivotField numFmtId="2" showAll="0"/>
    <pivotField numFmtId="2" showAll="0"/>
    <pivotField dataField="1" numFmtId="2" showAll="0"/>
    <pivotField showAll="0"/>
    <pivotField showAll="0"/>
    <pivotField showAll="0"/>
  </pivotFields>
  <rowFields count="1">
    <field x="1"/>
  </rowFields>
  <rowItems count="11">
    <i>
      <x/>
    </i>
    <i>
      <x v="1"/>
    </i>
    <i>
      <x v="2"/>
    </i>
    <i>
      <x v="3"/>
    </i>
    <i>
      <x v="4"/>
    </i>
    <i>
      <x v="5"/>
    </i>
    <i>
      <x v="6"/>
    </i>
    <i>
      <x v="7"/>
    </i>
    <i>
      <x v="8"/>
    </i>
    <i>
      <x v="9"/>
    </i>
    <i t="grand">
      <x/>
    </i>
  </rowItems>
  <colItems count="1">
    <i/>
  </colItems>
  <dataFields count="1">
    <dataField name="Sum of Gross _x000a_Annual _x000a_Income (£)"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lthcare_Stall__Name" xr10:uid="{17208FFA-6BD2-4FB9-8006-D60134211167}" sourceName="Healthcare Stall _x000a_Name">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lthcare Stall _x000a_Name" xr10:uid="{E2E9FE34-6132-4278-ACD8-E5928B300890}" cache="Slicer_Healthcare_Stall__Name" caption="Healthcare Stall _x000a_Name" startItem="3"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970879-DEA1-4120-B8DE-EB4B5CBC8C20}" name="Healthcare_Table" displayName="Healthcare_Table" ref="A5:K16" totalsRowShown="0" headerRowDxfId="14" headerRowBorderDxfId="13" tableBorderDxfId="12" totalsRowBorderDxfId="11">
  <autoFilter ref="A5:K16" xr:uid="{55970879-DEA1-4120-B8DE-EB4B5CBC8C20}"/>
  <tableColumns count="11">
    <tableColumn id="1" xr3:uid="{149ABA95-AFEE-427E-AA58-13788BD443AD}" name="Stand ID" dataDxfId="10"/>
    <tableColumn id="2" xr3:uid="{EFAA2C02-D4A3-4AF0-A8DB-45EE35C632FA}" name="Healthcare Stall _x000a_Name" dataDxfId="9"/>
    <tableColumn id="3" xr3:uid="{BEB9A3A7-A653-45D0-8200-6DC88793025E}" name="Placement" dataDxfId="8"/>
    <tableColumn id="4" xr3:uid="{AADB7BBE-B730-4A36-B3BD-6E29A288538F}" name="Sale Items_x000a_1st Quarter Sales (£) 2023" dataDxfId="7"/>
    <tableColumn id="5" xr3:uid="{6B43577E-5D96-4A17-B331-127DFC7E7655}" name="Sales Items_x000a_2nd Quarter Sales (£) 2023" dataDxfId="6"/>
    <tableColumn id="6" xr3:uid="{469A2595-A75D-4258-A7E8-E9E512AB5B4B}" name="Sale Items_x000a_3rd Quarter Sales (£)_x000a_2023" dataDxfId="5"/>
    <tableColumn id="7" xr3:uid="{C8E7767F-1FF6-486F-868A-FF21FEE693DE}" name="Sales Items_x000a_4th Quarter Sales (£) 2023" dataDxfId="4"/>
    <tableColumn id="8" xr3:uid="{EC380CE6-A0FF-4044-9A46-B956C2083972}" name="Gross _x000a_Annual _x000a_Income (£)" dataDxfId="3">
      <calculatedColumnFormula>SUM(D6:G6)</calculatedColumnFormula>
    </tableColumn>
    <tableColumn id="9" xr3:uid="{0E35466B-FA71-4A27-9FC7-D70A5A5711E5}" name="Annual Sales_x000a_Tax Payable_x000a_(£)" dataDxfId="2"/>
    <tableColumn id="10" xr3:uid="{3A0C8A0E-5F54-4D78-BFD6-6465392FCDCC}" name="Annual Income _x000a_Tax Payable (£)" dataDxfId="1"/>
    <tableColumn id="11" xr3:uid="{77B0E9CA-E31A-43BE-A50B-12DF5BAA652C}" name="Net Income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6" Type="http://schemas.microsoft.com/office/2007/relationships/slicer" Target="../slicers/slicer1.x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table" Target="../tables/table1.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8081D-3214-47FD-AD02-611545624450}">
  <sheetPr codeName="Sheet1"/>
  <dimension ref="A1:Q26"/>
  <sheetViews>
    <sheetView workbookViewId="0">
      <selection activeCell="I16" sqref="I16"/>
    </sheetView>
  </sheetViews>
  <sheetFormatPr defaultRowHeight="14.4" x14ac:dyDescent="0.3"/>
  <cols>
    <col min="1" max="1" width="10" customWidth="1"/>
    <col min="2" max="2" width="21" customWidth="1"/>
    <col min="3" max="3" width="35.88671875" customWidth="1"/>
    <col min="4" max="4" width="23" customWidth="1"/>
    <col min="5" max="5" width="33.88671875" customWidth="1"/>
    <col min="6" max="6" width="19" customWidth="1"/>
    <col min="7" max="7" width="23.88671875" customWidth="1"/>
    <col min="8" max="8" width="13.6640625" customWidth="1"/>
    <col min="9" max="9" width="13" customWidth="1"/>
    <col min="10" max="10" width="15.77734375" customWidth="1"/>
    <col min="11" max="11" width="21.5546875" customWidth="1"/>
  </cols>
  <sheetData>
    <row r="1" spans="1:17" x14ac:dyDescent="0.3">
      <c r="C1" s="16" t="s">
        <v>40</v>
      </c>
      <c r="D1" s="17"/>
      <c r="E1" s="17"/>
      <c r="F1" s="17"/>
      <c r="G1" s="17"/>
      <c r="H1" s="1"/>
      <c r="I1" s="1"/>
      <c r="J1" s="1"/>
      <c r="K1" s="1"/>
      <c r="L1" s="1"/>
      <c r="M1" s="1"/>
      <c r="N1" s="1"/>
      <c r="O1" s="1"/>
      <c r="P1" s="1"/>
      <c r="Q1" s="1"/>
    </row>
    <row r="2" spans="1:17" x14ac:dyDescent="0.3">
      <c r="C2" s="17"/>
      <c r="D2" s="17"/>
      <c r="E2" s="17"/>
      <c r="F2" s="17"/>
      <c r="G2" s="17"/>
      <c r="H2" s="1"/>
      <c r="I2" s="1"/>
      <c r="J2" s="1"/>
      <c r="K2" s="1"/>
      <c r="L2" s="1"/>
      <c r="M2" s="1"/>
      <c r="N2" s="1"/>
      <c r="O2" s="1"/>
      <c r="P2" s="1"/>
      <c r="Q2" s="1"/>
    </row>
    <row r="3" spans="1:17" x14ac:dyDescent="0.3">
      <c r="G3" s="1"/>
      <c r="H3" s="1"/>
      <c r="I3" s="1"/>
      <c r="J3" s="1"/>
      <c r="K3" s="1"/>
      <c r="L3" s="1"/>
      <c r="M3" s="1"/>
      <c r="N3" s="1"/>
      <c r="O3" s="1"/>
      <c r="P3" s="1"/>
      <c r="Q3" s="1"/>
    </row>
    <row r="5" spans="1:17" ht="67.2" customHeight="1" x14ac:dyDescent="0.3">
      <c r="A5" s="2" t="s">
        <v>0</v>
      </c>
      <c r="B5" s="3" t="s">
        <v>25</v>
      </c>
      <c r="C5" s="3" t="s">
        <v>1</v>
      </c>
      <c r="D5" s="3" t="s">
        <v>35</v>
      </c>
      <c r="E5" s="3" t="s">
        <v>36</v>
      </c>
      <c r="F5" s="3" t="s">
        <v>37</v>
      </c>
      <c r="G5" s="3" t="s">
        <v>38</v>
      </c>
      <c r="H5" s="3" t="s">
        <v>41</v>
      </c>
      <c r="I5" s="3" t="s">
        <v>42</v>
      </c>
      <c r="J5" s="3" t="s">
        <v>43</v>
      </c>
      <c r="K5" s="4" t="s">
        <v>44</v>
      </c>
    </row>
    <row r="6" spans="1:17" x14ac:dyDescent="0.3">
      <c r="A6" s="5">
        <v>1</v>
      </c>
      <c r="B6" s="6" t="s">
        <v>26</v>
      </c>
      <c r="C6" s="7" t="s">
        <v>15</v>
      </c>
      <c r="D6" s="8">
        <v>12546.32</v>
      </c>
      <c r="E6" s="8">
        <v>11226.92</v>
      </c>
      <c r="F6" s="8">
        <v>9982.91</v>
      </c>
      <c r="G6" s="8">
        <v>14678.88</v>
      </c>
      <c r="H6" s="8">
        <f>SUM(D6:G6)</f>
        <v>48435.029999999992</v>
      </c>
      <c r="I6" s="7">
        <v>2421.75</v>
      </c>
      <c r="J6" s="7">
        <v>1314.76</v>
      </c>
      <c r="K6" s="9">
        <v>44698.51999999999</v>
      </c>
    </row>
    <row r="7" spans="1:17" ht="28.8" x14ac:dyDescent="0.3">
      <c r="A7" s="5">
        <v>2</v>
      </c>
      <c r="B7" s="6" t="s">
        <v>27</v>
      </c>
      <c r="C7" s="7" t="s">
        <v>22</v>
      </c>
      <c r="D7" s="8">
        <v>9477.5400000000009</v>
      </c>
      <c r="E7" s="8">
        <v>13621.34</v>
      </c>
      <c r="F7" s="8">
        <v>11305.44</v>
      </c>
      <c r="G7" s="8">
        <v>9756.34</v>
      </c>
      <c r="H7" s="8">
        <f t="shared" ref="H7:H15" si="0">SUM(D7:G7)</f>
        <v>44160.66</v>
      </c>
      <c r="I7" s="7">
        <v>2208.0300000000002</v>
      </c>
      <c r="J7" s="7">
        <v>4740.49</v>
      </c>
      <c r="K7" s="9">
        <v>37212.14</v>
      </c>
    </row>
    <row r="8" spans="1:17" ht="28.8" x14ac:dyDescent="0.3">
      <c r="A8" s="5">
        <v>3</v>
      </c>
      <c r="B8" s="6" t="s">
        <v>29</v>
      </c>
      <c r="C8" s="7" t="s">
        <v>16</v>
      </c>
      <c r="D8" s="8">
        <v>15932.54</v>
      </c>
      <c r="E8" s="8">
        <v>22321.45</v>
      </c>
      <c r="F8" s="8">
        <v>10900.69</v>
      </c>
      <c r="G8" s="8">
        <v>10458.23</v>
      </c>
      <c r="H8" s="8">
        <f t="shared" si="0"/>
        <v>59612.91</v>
      </c>
      <c r="I8" s="7">
        <v>2980.65</v>
      </c>
      <c r="J8" s="7">
        <v>2917.87</v>
      </c>
      <c r="K8" s="9">
        <v>53714.39</v>
      </c>
    </row>
    <row r="9" spans="1:17" x14ac:dyDescent="0.3">
      <c r="A9" s="5">
        <v>4</v>
      </c>
      <c r="B9" s="7" t="s">
        <v>28</v>
      </c>
      <c r="C9" s="7" t="s">
        <v>12</v>
      </c>
      <c r="D9" s="8">
        <v>17399.25</v>
      </c>
      <c r="E9" s="8">
        <v>16354.89</v>
      </c>
      <c r="F9" s="8">
        <v>10123.450000000001</v>
      </c>
      <c r="G9" s="8">
        <v>9345.67</v>
      </c>
      <c r="H9" s="8">
        <f t="shared" si="0"/>
        <v>53223.259999999995</v>
      </c>
      <c r="I9" s="7">
        <v>2661.16</v>
      </c>
      <c r="J9" s="7">
        <v>2511.81</v>
      </c>
      <c r="K9" s="9">
        <v>48050.289999999994</v>
      </c>
    </row>
    <row r="10" spans="1:17" x14ac:dyDescent="0.3">
      <c r="A10" s="5">
        <v>5</v>
      </c>
      <c r="B10" s="6" t="s">
        <v>30</v>
      </c>
      <c r="C10" s="7" t="s">
        <v>23</v>
      </c>
      <c r="D10" s="8">
        <v>18203.21</v>
      </c>
      <c r="E10" s="8">
        <v>13549.27</v>
      </c>
      <c r="F10" s="8">
        <v>14833.22</v>
      </c>
      <c r="G10" s="8">
        <v>12211.11</v>
      </c>
      <c r="H10" s="8">
        <f t="shared" si="0"/>
        <v>58796.81</v>
      </c>
      <c r="I10" s="7">
        <v>2939.84</v>
      </c>
      <c r="J10" s="7">
        <v>2673.04</v>
      </c>
      <c r="K10" s="9">
        <v>53183.93</v>
      </c>
    </row>
    <row r="11" spans="1:17" x14ac:dyDescent="0.3">
      <c r="A11" s="5">
        <v>6</v>
      </c>
      <c r="B11" s="7" t="s">
        <v>31</v>
      </c>
      <c r="C11" s="7" t="s">
        <v>17</v>
      </c>
      <c r="D11" s="8">
        <v>11570.64</v>
      </c>
      <c r="E11" s="8">
        <v>12456.3</v>
      </c>
      <c r="F11" s="8">
        <v>13145.23</v>
      </c>
      <c r="G11" s="8">
        <v>16855.34</v>
      </c>
      <c r="H11" s="8">
        <f t="shared" si="0"/>
        <v>54027.509999999995</v>
      </c>
      <c r="I11" s="7">
        <v>2701.38</v>
      </c>
      <c r="J11" s="7">
        <v>2712.88</v>
      </c>
      <c r="K11" s="9">
        <v>48613.249999999993</v>
      </c>
    </row>
    <row r="12" spans="1:17" ht="28.8" x14ac:dyDescent="0.3">
      <c r="A12" s="5">
        <v>7</v>
      </c>
      <c r="B12" s="6" t="s">
        <v>32</v>
      </c>
      <c r="C12" s="7" t="s">
        <v>24</v>
      </c>
      <c r="D12" s="8">
        <v>10600.45</v>
      </c>
      <c r="E12" s="8">
        <v>11503.22</v>
      </c>
      <c r="F12" s="8">
        <v>12564.22</v>
      </c>
      <c r="G12" s="8">
        <v>16820.77</v>
      </c>
      <c r="H12" s="8">
        <f t="shared" si="0"/>
        <v>51488.66</v>
      </c>
      <c r="I12" s="7">
        <v>2574.4299999999998</v>
      </c>
      <c r="J12" s="7">
        <v>2078.17</v>
      </c>
      <c r="K12" s="9">
        <v>46836.060000000005</v>
      </c>
    </row>
    <row r="13" spans="1:17" x14ac:dyDescent="0.3">
      <c r="A13" s="5">
        <v>8</v>
      </c>
      <c r="B13" s="7" t="s">
        <v>33</v>
      </c>
      <c r="C13" s="7" t="s">
        <v>18</v>
      </c>
      <c r="D13" s="8">
        <v>12900.35</v>
      </c>
      <c r="E13" s="8">
        <v>12856.77</v>
      </c>
      <c r="F13" s="8">
        <v>15577.81</v>
      </c>
      <c r="G13" s="8">
        <v>14568.67</v>
      </c>
      <c r="H13" s="8">
        <f t="shared" si="0"/>
        <v>55903.6</v>
      </c>
      <c r="I13" s="7">
        <v>2795.18</v>
      </c>
      <c r="J13" s="7">
        <v>3181.9</v>
      </c>
      <c r="K13" s="9">
        <v>49926.52</v>
      </c>
    </row>
    <row r="14" spans="1:17" x14ac:dyDescent="0.3">
      <c r="A14" s="5">
        <v>9</v>
      </c>
      <c r="B14" s="6" t="s">
        <v>34</v>
      </c>
      <c r="C14" s="7" t="s">
        <v>13</v>
      </c>
      <c r="D14" s="8">
        <v>9867.99</v>
      </c>
      <c r="E14" s="8">
        <v>16431.12</v>
      </c>
      <c r="F14" s="8">
        <v>11244.34</v>
      </c>
      <c r="G14" s="8">
        <v>19546.32</v>
      </c>
      <c r="H14" s="8">
        <f>SUM(D14:G14)</f>
        <v>57089.77</v>
      </c>
      <c r="I14" s="7">
        <v>2854.49</v>
      </c>
      <c r="J14" s="7">
        <v>2160.9299999999998</v>
      </c>
      <c r="K14" s="9">
        <v>52074.35</v>
      </c>
    </row>
    <row r="15" spans="1:17" x14ac:dyDescent="0.3">
      <c r="A15" s="10">
        <v>10</v>
      </c>
      <c r="B15" s="11" t="s">
        <v>39</v>
      </c>
      <c r="C15" s="11" t="s">
        <v>14</v>
      </c>
      <c r="D15" s="12">
        <v>12113.44</v>
      </c>
      <c r="E15" s="12">
        <v>11965.33</v>
      </c>
      <c r="F15" s="12">
        <v>13644.39</v>
      </c>
      <c r="G15" s="12">
        <v>7652.23</v>
      </c>
      <c r="H15" s="12">
        <f t="shared" si="0"/>
        <v>45375.39</v>
      </c>
      <c r="I15" s="11">
        <v>2268.77</v>
      </c>
      <c r="J15" s="11">
        <v>549.85</v>
      </c>
      <c r="K15" s="13">
        <v>42556.77</v>
      </c>
    </row>
    <row r="16" spans="1:17" x14ac:dyDescent="0.3">
      <c r="A16" s="10" t="s">
        <v>48</v>
      </c>
      <c r="B16" s="11"/>
      <c r="C16" s="11"/>
      <c r="D16" s="12">
        <f>SUM(D6:D15)</f>
        <v>130611.73000000001</v>
      </c>
      <c r="E16" s="12">
        <f>SUM(E6:E15)</f>
        <v>142286.61000000002</v>
      </c>
      <c r="F16" s="12">
        <f>SUM(F6:F15)</f>
        <v>123321.7</v>
      </c>
      <c r="G16" s="12">
        <f>SUM(G6:G15)</f>
        <v>131893.56</v>
      </c>
      <c r="H16" s="12">
        <f>SUM(D16:G16)</f>
        <v>528113.60000000009</v>
      </c>
      <c r="I16" s="11"/>
      <c r="J16" s="11"/>
      <c r="K16" s="13"/>
    </row>
    <row r="18" spans="2:3" x14ac:dyDescent="0.3">
      <c r="B18" s="7" t="s">
        <v>2</v>
      </c>
      <c r="C18" s="15">
        <v>0.05</v>
      </c>
    </row>
    <row r="21" spans="2:3" ht="28.8" x14ac:dyDescent="0.3">
      <c r="B21" s="6" t="s">
        <v>5</v>
      </c>
      <c r="C21" s="7" t="s">
        <v>6</v>
      </c>
    </row>
    <row r="22" spans="2:3" x14ac:dyDescent="0.3">
      <c r="B22" s="7" t="s">
        <v>9</v>
      </c>
      <c r="C22" s="7" t="s">
        <v>3</v>
      </c>
    </row>
    <row r="23" spans="2:3" x14ac:dyDescent="0.3">
      <c r="B23" s="7" t="s">
        <v>8</v>
      </c>
      <c r="C23" s="7" t="s">
        <v>4</v>
      </c>
    </row>
    <row r="24" spans="2:3" x14ac:dyDescent="0.3">
      <c r="B24" s="14" t="s">
        <v>10</v>
      </c>
      <c r="C24" s="7" t="s">
        <v>7</v>
      </c>
    </row>
    <row r="25" spans="2:3" x14ac:dyDescent="0.3">
      <c r="B25" s="7" t="s">
        <v>11</v>
      </c>
      <c r="C25" s="7" t="s">
        <v>21</v>
      </c>
    </row>
    <row r="26" spans="2:3" x14ac:dyDescent="0.3">
      <c r="B26" s="7" t="s">
        <v>19</v>
      </c>
      <c r="C26" s="7" t="s">
        <v>20</v>
      </c>
    </row>
  </sheetData>
  <mergeCells count="1">
    <mergeCell ref="C1:G2"/>
  </mergeCells>
  <pageMargins left="0.7" right="0.7" top="0.75" bottom="0.75" header="0.3" footer="0.3"/>
  <drawing r:id="rId1"/>
  <legacyDrawing r:id="rId2"/>
  <controls>
    <mc:AlternateContent xmlns:mc="http://schemas.openxmlformats.org/markup-compatibility/2006">
      <mc:Choice Requires="x14">
        <control shapeId="1031" r:id="rId3" name="CommandButton1">
          <controlPr defaultSize="0" autoLine="0" r:id="rId4">
            <anchor moveWithCells="1">
              <from>
                <xdr:col>3</xdr:col>
                <xdr:colOff>457200</xdr:colOff>
                <xdr:row>20</xdr:row>
                <xdr:rowOff>259080</xdr:rowOff>
              </from>
              <to>
                <xdr:col>4</xdr:col>
                <xdr:colOff>1097280</xdr:colOff>
                <xdr:row>24</xdr:row>
                <xdr:rowOff>53340</xdr:rowOff>
              </to>
            </anchor>
          </controlPr>
        </control>
      </mc:Choice>
      <mc:Fallback>
        <control shapeId="1031" r:id="rId3" name="CommandButton1"/>
      </mc:Fallback>
    </mc:AlternateContent>
    <mc:AlternateContent xmlns:mc="http://schemas.openxmlformats.org/markup-compatibility/2006">
      <mc:Choice Requires="x14">
        <control shapeId="1032" r:id="rId5" name="CommandButton2">
          <controlPr defaultSize="0" autoLine="0" r:id="rId6">
            <anchor moveWithCells="1">
              <from>
                <xdr:col>4</xdr:col>
                <xdr:colOff>1470660</xdr:colOff>
                <xdr:row>20</xdr:row>
                <xdr:rowOff>251460</xdr:rowOff>
              </from>
              <to>
                <xdr:col>6</xdr:col>
                <xdr:colOff>15240</xdr:colOff>
                <xdr:row>24</xdr:row>
                <xdr:rowOff>38100</xdr:rowOff>
              </to>
            </anchor>
          </controlPr>
        </control>
      </mc:Choice>
      <mc:Fallback>
        <control shapeId="1032" r:id="rId5" name="CommandButton2"/>
      </mc:Fallback>
    </mc:AlternateContent>
    <mc:AlternateContent xmlns:mc="http://schemas.openxmlformats.org/markup-compatibility/2006">
      <mc:Choice Requires="x14">
        <control shapeId="1033" r:id="rId7" name="CommandButton3">
          <controlPr defaultSize="0" autoLine="0" r:id="rId8">
            <anchor moveWithCells="1">
              <from>
                <xdr:col>6</xdr:col>
                <xdr:colOff>365760</xdr:colOff>
                <xdr:row>20</xdr:row>
                <xdr:rowOff>220980</xdr:rowOff>
              </from>
              <to>
                <xdr:col>8</xdr:col>
                <xdr:colOff>114300</xdr:colOff>
                <xdr:row>24</xdr:row>
                <xdr:rowOff>30480</xdr:rowOff>
              </to>
            </anchor>
          </controlPr>
        </control>
      </mc:Choice>
      <mc:Fallback>
        <control shapeId="1033" r:id="rId7" name="CommandButton3"/>
      </mc:Fallback>
    </mc:AlternateContent>
    <mc:AlternateContent xmlns:mc="http://schemas.openxmlformats.org/markup-compatibility/2006">
      <mc:Choice Requires="x14">
        <control shapeId="1034" r:id="rId9" name="CommandButton4">
          <controlPr defaultSize="0" autoLine="0" autoPict="0" r:id="rId10">
            <anchor moveWithCells="1">
              <from>
                <xdr:col>3</xdr:col>
                <xdr:colOff>495300</xdr:colOff>
                <xdr:row>16</xdr:row>
                <xdr:rowOff>129540</xdr:rowOff>
              </from>
              <to>
                <xdr:col>4</xdr:col>
                <xdr:colOff>1112520</xdr:colOff>
                <xdr:row>20</xdr:row>
                <xdr:rowOff>38100</xdr:rowOff>
              </to>
            </anchor>
          </controlPr>
        </control>
      </mc:Choice>
      <mc:Fallback>
        <control shapeId="1034" r:id="rId9" name="CommandButton4"/>
      </mc:Fallback>
    </mc:AlternateContent>
    <mc:AlternateContent xmlns:mc="http://schemas.openxmlformats.org/markup-compatibility/2006">
      <mc:Choice Requires="x14">
        <control shapeId="1035" r:id="rId11" name="CommandButton5">
          <controlPr defaultSize="0" autoLine="0" r:id="rId12">
            <anchor moveWithCells="1">
              <from>
                <xdr:col>4</xdr:col>
                <xdr:colOff>1508760</xdr:colOff>
                <xdr:row>16</xdr:row>
                <xdr:rowOff>144780</xdr:rowOff>
              </from>
              <to>
                <xdr:col>5</xdr:col>
                <xdr:colOff>1219200</xdr:colOff>
                <xdr:row>20</xdr:row>
                <xdr:rowOff>15240</xdr:rowOff>
              </to>
            </anchor>
          </controlPr>
        </control>
      </mc:Choice>
      <mc:Fallback>
        <control shapeId="1035" r:id="rId11" name="CommandButton5"/>
      </mc:Fallback>
    </mc:AlternateContent>
    <mc:AlternateContent xmlns:mc="http://schemas.openxmlformats.org/markup-compatibility/2006">
      <mc:Choice Requires="x14">
        <control shapeId="1036" r:id="rId13" name="CommandButton6">
          <controlPr defaultSize="0" autoLine="0" r:id="rId14">
            <anchor moveWithCells="1">
              <from>
                <xdr:col>6</xdr:col>
                <xdr:colOff>350520</xdr:colOff>
                <xdr:row>16</xdr:row>
                <xdr:rowOff>99060</xdr:rowOff>
              </from>
              <to>
                <xdr:col>8</xdr:col>
                <xdr:colOff>152400</xdr:colOff>
                <xdr:row>20</xdr:row>
                <xdr:rowOff>30480</xdr:rowOff>
              </to>
            </anchor>
          </controlPr>
        </control>
      </mc:Choice>
      <mc:Fallback>
        <control shapeId="1036" r:id="rId13" name="CommandButton6"/>
      </mc:Fallback>
    </mc:AlternateContent>
  </controls>
  <tableParts count="1">
    <tablePart r:id="rId15"/>
  </tableParts>
  <extLst>
    <ext xmlns:x15="http://schemas.microsoft.com/office/spreadsheetml/2010/11/main" uri="{3A4CF648-6AED-40f4-86FF-DC5316D8AED3}">
      <x14:slicerList xmlns:x14="http://schemas.microsoft.com/office/spreadsheetml/2009/9/main">
        <x14:slicer r:id="rId1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CF00-8284-4A76-B103-AC3A0CBB20ED}">
  <dimension ref="A1:B30"/>
  <sheetViews>
    <sheetView tabSelected="1" topLeftCell="A16" workbookViewId="0">
      <selection activeCell="B41" sqref="B41"/>
    </sheetView>
  </sheetViews>
  <sheetFormatPr defaultRowHeight="14.4" x14ac:dyDescent="0.3"/>
  <cols>
    <col min="1" max="1" width="27.33203125" bestFit="1" customWidth="1"/>
    <col min="2" max="2" width="28.44140625" bestFit="1" customWidth="1"/>
  </cols>
  <sheetData>
    <row r="1" spans="1:2" x14ac:dyDescent="0.3">
      <c r="A1" s="19" t="s">
        <v>46</v>
      </c>
      <c r="B1" t="s">
        <v>45</v>
      </c>
    </row>
    <row r="2" spans="1:2" x14ac:dyDescent="0.3">
      <c r="A2" s="20" t="s">
        <v>27</v>
      </c>
      <c r="B2" s="18">
        <v>44160.66</v>
      </c>
    </row>
    <row r="3" spans="1:2" x14ac:dyDescent="0.3">
      <c r="A3" s="20" t="s">
        <v>28</v>
      </c>
      <c r="B3" s="18">
        <v>53223.259999999995</v>
      </c>
    </row>
    <row r="4" spans="1:2" x14ac:dyDescent="0.3">
      <c r="A4" s="20" t="s">
        <v>39</v>
      </c>
      <c r="B4" s="18">
        <v>45375.39</v>
      </c>
    </row>
    <row r="5" spans="1:2" x14ac:dyDescent="0.3">
      <c r="A5" s="20" t="s">
        <v>29</v>
      </c>
      <c r="B5" s="18">
        <v>59612.91</v>
      </c>
    </row>
    <row r="6" spans="1:2" x14ac:dyDescent="0.3">
      <c r="A6" s="20" t="s">
        <v>34</v>
      </c>
      <c r="B6" s="18">
        <v>57089.77</v>
      </c>
    </row>
    <row r="7" spans="1:2" x14ac:dyDescent="0.3">
      <c r="A7" s="20" t="s">
        <v>30</v>
      </c>
      <c r="B7" s="18">
        <v>58796.81</v>
      </c>
    </row>
    <row r="8" spans="1:2" x14ac:dyDescent="0.3">
      <c r="A8" s="20" t="s">
        <v>26</v>
      </c>
      <c r="B8" s="18">
        <v>48435.029999999992</v>
      </c>
    </row>
    <row r="9" spans="1:2" x14ac:dyDescent="0.3">
      <c r="A9" s="20" t="s">
        <v>31</v>
      </c>
      <c r="B9" s="18">
        <v>54027.509999999995</v>
      </c>
    </row>
    <row r="10" spans="1:2" x14ac:dyDescent="0.3">
      <c r="A10" s="20" t="s">
        <v>32</v>
      </c>
      <c r="B10" s="18">
        <v>51488.66</v>
      </c>
    </row>
    <row r="11" spans="1:2" x14ac:dyDescent="0.3">
      <c r="A11" s="20" t="s">
        <v>33</v>
      </c>
      <c r="B11" s="18">
        <v>55903.6</v>
      </c>
    </row>
    <row r="12" spans="1:2" x14ac:dyDescent="0.3">
      <c r="A12" s="20" t="s">
        <v>47</v>
      </c>
      <c r="B12" s="18">
        <v>528113.6</v>
      </c>
    </row>
    <row r="19" spans="1:2" x14ac:dyDescent="0.3">
      <c r="A19" s="19" t="s">
        <v>46</v>
      </c>
      <c r="B19" t="s">
        <v>45</v>
      </c>
    </row>
    <row r="20" spans="1:2" x14ac:dyDescent="0.3">
      <c r="A20" s="20" t="s">
        <v>27</v>
      </c>
      <c r="B20" s="18">
        <v>44160.66</v>
      </c>
    </row>
    <row r="21" spans="1:2" x14ac:dyDescent="0.3">
      <c r="A21" s="20" t="s">
        <v>28</v>
      </c>
      <c r="B21" s="18">
        <v>53223.259999999995</v>
      </c>
    </row>
    <row r="22" spans="1:2" x14ac:dyDescent="0.3">
      <c r="A22" s="20" t="s">
        <v>39</v>
      </c>
      <c r="B22" s="18">
        <v>45375.39</v>
      </c>
    </row>
    <row r="23" spans="1:2" x14ac:dyDescent="0.3">
      <c r="A23" s="20" t="s">
        <v>29</v>
      </c>
      <c r="B23" s="18">
        <v>59612.91</v>
      </c>
    </row>
    <row r="24" spans="1:2" x14ac:dyDescent="0.3">
      <c r="A24" s="20" t="s">
        <v>34</v>
      </c>
      <c r="B24" s="18">
        <v>57089.77</v>
      </c>
    </row>
    <row r="25" spans="1:2" x14ac:dyDescent="0.3">
      <c r="A25" s="20" t="s">
        <v>30</v>
      </c>
      <c r="B25" s="18">
        <v>58796.81</v>
      </c>
    </row>
    <row r="26" spans="1:2" x14ac:dyDescent="0.3">
      <c r="A26" s="20" t="s">
        <v>26</v>
      </c>
      <c r="B26" s="18">
        <v>48435.029999999992</v>
      </c>
    </row>
    <row r="27" spans="1:2" x14ac:dyDescent="0.3">
      <c r="A27" s="20" t="s">
        <v>31</v>
      </c>
      <c r="B27" s="18">
        <v>54027.509999999995</v>
      </c>
    </row>
    <row r="28" spans="1:2" x14ac:dyDescent="0.3">
      <c r="A28" s="20" t="s">
        <v>32</v>
      </c>
      <c r="B28" s="18">
        <v>51488.66</v>
      </c>
    </row>
    <row r="29" spans="1:2" x14ac:dyDescent="0.3">
      <c r="A29" s="20" t="s">
        <v>33</v>
      </c>
      <c r="B29" s="18">
        <v>55903.6</v>
      </c>
    </row>
    <row r="30" spans="1:2" x14ac:dyDescent="0.3">
      <c r="A30" s="20" t="s">
        <v>47</v>
      </c>
      <c r="B30" s="18">
        <v>528113.6</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healthcareexpo_sheet</vt:lpstr>
      <vt:lpstr>pivot_sheet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Mbanugo</dc:creator>
  <cp:lastModifiedBy>Sean Mbanugo</cp:lastModifiedBy>
  <dcterms:created xsi:type="dcterms:W3CDTF">2024-01-31T16:45:38Z</dcterms:created>
  <dcterms:modified xsi:type="dcterms:W3CDTF">2024-04-01T15:04:34Z</dcterms:modified>
</cp:coreProperties>
</file>